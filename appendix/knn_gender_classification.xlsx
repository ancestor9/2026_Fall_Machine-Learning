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조근하\Downloads\"/>
    </mc:Choice>
  </mc:AlternateContent>
  <xr:revisionPtr revIDLastSave="0" documentId="13_ncr:1_{86D552BC-3760-4100-A4C1-AA74D34DB5E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요약 및 결과" sheetId="1" r:id="rId1"/>
    <sheet name="KNN 계산 (원본 데이터)" sheetId="2" r:id="rId2"/>
    <sheet name="KNN 계산 (정규화 데이터)" sheetId="3" r:id="rId3"/>
  </sheets>
  <calcPr calcId="191029"/>
</workbook>
</file>

<file path=xl/calcChain.xml><?xml version="1.0" encoding="utf-8"?>
<calcChain xmlns="http://schemas.openxmlformats.org/spreadsheetml/2006/main">
  <c r="G12" i="3" l="1"/>
  <c r="G13" i="3"/>
  <c r="G14" i="3"/>
  <c r="G15" i="3"/>
  <c r="G16" i="3"/>
  <c r="G17" i="3"/>
  <c r="G18" i="3"/>
  <c r="G11" i="3"/>
  <c r="C7" i="3"/>
  <c r="B7" i="3"/>
  <c r="B15" i="3" s="1"/>
  <c r="G11" i="2"/>
  <c r="G12" i="2"/>
  <c r="G13" i="2"/>
  <c r="G14" i="2"/>
  <c r="G15" i="2"/>
  <c r="G16" i="2"/>
  <c r="G17" i="2"/>
  <c r="G10" i="2"/>
  <c r="C6" i="3"/>
  <c r="B6" i="3"/>
  <c r="F17" i="2"/>
  <c r="E17" i="2"/>
  <c r="D17" i="2"/>
  <c r="E16" i="2"/>
  <c r="D16" i="2"/>
  <c r="F16" i="2" s="1"/>
  <c r="F15" i="2"/>
  <c r="E15" i="2"/>
  <c r="D15" i="2"/>
  <c r="E14" i="2"/>
  <c r="D14" i="2"/>
  <c r="F14" i="2" s="1"/>
  <c r="F13" i="2"/>
  <c r="E13" i="2"/>
  <c r="D13" i="2"/>
  <c r="E12" i="2"/>
  <c r="D12" i="2"/>
  <c r="F12" i="2" s="1"/>
  <c r="F11" i="2"/>
  <c r="E11" i="2"/>
  <c r="D11" i="2"/>
  <c r="E10" i="2"/>
  <c r="D10" i="2"/>
  <c r="F10" i="2" s="1"/>
  <c r="B16" i="3" l="1"/>
  <c r="C8" i="1"/>
  <c r="C16" i="3"/>
  <c r="C15" i="3"/>
  <c r="I12" i="3"/>
  <c r="D16" i="3" s="1"/>
  <c r="B14" i="3"/>
  <c r="B18" i="3"/>
  <c r="D18" i="3" s="1"/>
  <c r="J12" i="3"/>
  <c r="C14" i="3"/>
  <c r="C18" i="3"/>
  <c r="B12" i="3"/>
  <c r="B13" i="3"/>
  <c r="B17" i="3"/>
  <c r="D17" i="3" s="1"/>
  <c r="C12" i="3"/>
  <c r="C13" i="3"/>
  <c r="C17" i="3"/>
  <c r="B11" i="3"/>
  <c r="C11" i="3"/>
  <c r="E16" i="3" l="1"/>
  <c r="D14" i="3"/>
  <c r="E13" i="3"/>
  <c r="D13" i="3"/>
  <c r="F16" i="3"/>
  <c r="E15" i="3"/>
  <c r="F17" i="3"/>
  <c r="D12" i="3"/>
  <c r="E12" i="3"/>
  <c r="E11" i="3"/>
  <c r="E18" i="3"/>
  <c r="F18" i="3" s="1"/>
  <c r="D15" i="3"/>
  <c r="E17" i="3"/>
  <c r="F13" i="3"/>
  <c r="D11" i="3"/>
  <c r="E14" i="3"/>
  <c r="F14" i="3" l="1"/>
  <c r="F12" i="3"/>
  <c r="F15" i="3"/>
  <c r="F11" i="3"/>
</calcChain>
</file>

<file path=xl/sharedStrings.xml><?xml version="1.0" encoding="utf-8"?>
<sst xmlns="http://schemas.openxmlformats.org/spreadsheetml/2006/main" count="68" uniqueCount="42">
  <si>
    <t>KNN (K-최근접 이웃) 알고리즘 성별 분류 결과</t>
  </si>
  <si>
    <t>주어진 신장(height)과 체중(weight) 데이터를 바탕으로 새로운 데이터의 성별을 예측합니다.</t>
  </si>
  <si>
    <t>■ 분류 대상 데이터 (별첨 2): 신장 6.0 feet, 체중 130 lbs</t>
  </si>
  <si>
    <t>[분류 결과 요약]</t>
  </si>
  <si>
    <t>K 값</t>
  </si>
  <si>
    <t>원본 데이터 기준 예측</t>
  </si>
  <si>
    <t>정규화(Standardized) 데이터 기준 예측</t>
  </si>
  <si>
    <t>K = 1</t>
  </si>
  <si>
    <t>female</t>
  </si>
  <si>
    <t>K = 3</t>
  </si>
  <si>
    <t>female (우세승)</t>
  </si>
  <si>
    <t>male (우세승)</t>
  </si>
  <si>
    <t>K = 5</t>
  </si>
  <si>
    <t>■ 중요 분석 및 해설</t>
  </si>
  <si>
    <t>1. 원본 데이터로 계산 시: 체중(weight)의 수치 범위(100~190)가 신장(5~6)보다 훨씬 크기 때문에, 거리를 계산할 때 신장의 차이는 무시되고 체중의 차이만 반영됩니다. 따라서 대상 샘플(130 lbs)과 체중이 유사한 'female'로 모두 분류됩니다.</t>
  </si>
  <si>
    <t>2. 정규화(Z-Score) 데이터로 계산 시: 두 변수의 스케일을 동일하게 맞추면, 신장 6.0 feet가 남성의 평균에 매우 가깝고 여성으로서는 매우 예외적으로 큰 수치라는 점이 올바르게 반영됩니다. 이에 따라 K=3, K=5일 때 'male(남성)'로 분류됩니다.</t>
  </si>
  <si>
    <t>KNN 알고리즘 구현 (원시 데이터 기준)</t>
  </si>
  <si>
    <t>체중(weight)의 단위가 커서 거리에 미치는 영향이 절대적입니다.</t>
  </si>
  <si>
    <t>분류 대상 데이터 (별첨 2)</t>
  </si>
  <si>
    <t>Person</t>
  </si>
  <si>
    <t>height (feet)</t>
  </si>
  <si>
    <t>weight (lbs)</t>
  </si>
  <si>
    <t>sample</t>
  </si>
  <si>
    <t>학습 데이터셋 및 거리 계산 (별첨 1)</t>
  </si>
  <si>
    <t>Diff Height^2</t>
  </si>
  <si>
    <t>Diff Weight^2</t>
  </si>
  <si>
    <t>Euclidean Distance</t>
  </si>
  <si>
    <t>Rank</t>
  </si>
  <si>
    <t>male</t>
  </si>
  <si>
    <t>KNN 알고리즘 구현 (Z-점수 표준화 데이터 기준)</t>
  </si>
  <si>
    <t>각 변수의 평균과 표준편차를 이용하여 스케일을 균등하게 맞춘 후 거리를 계산합니다.</t>
  </si>
  <si>
    <t>전체 데이터 통계 (학습 데이터 기준)</t>
  </si>
  <si>
    <t>Metric</t>
  </si>
  <si>
    <t>평균 (AVERAGE)</t>
  </si>
  <si>
    <t>표준편차 (STDEV.S)</t>
  </si>
  <si>
    <t>정규화 및 거리 계산</t>
  </si>
  <si>
    <t>Z-Height</t>
  </si>
  <si>
    <t>Z-Weight</t>
  </si>
  <si>
    <t>Diff Z-H^2</t>
  </si>
  <si>
    <t>Diff Z-W^2</t>
  </si>
  <si>
    <t>대상 Sample Z-점수</t>
  </si>
  <si>
    <t>male (우세승)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</si>
</sst>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"/>
  </numFmts>
  <fonts count="7">
    <font>
      <sz val="11"/>
      <color theme="1"/>
      <name val="맑은 고딕"/>
      <family val="2"/>
      <scheme val="minor"/>
    </font>
    <font>
      <b/>
      <sz val="16"/>
      <color rgb="FF1B365D"/>
      <name val="Malgun Gothic"/>
      <family val="3"/>
      <charset val="129"/>
    </font>
    <font>
      <i/>
      <sz val="11"/>
      <color rgb="FF555555"/>
      <name val="Malgun Gothic"/>
      <family val="3"/>
      <charset val="129"/>
    </font>
    <font>
      <b/>
      <sz val="10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A5568"/>
        <bgColor rgb="FF4A5568"/>
      </patternFill>
    </fill>
    <fill>
      <patternFill patternType="solid">
        <fgColor rgb="FF1B365D"/>
        <bgColor rgb="FF1B365D"/>
      </patternFill>
    </fill>
    <fill>
      <patternFill patternType="solid">
        <fgColor rgb="FFF0F4F8"/>
        <bgColor rgb="FFF0F4F8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/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2" fontId="5" fillId="0" borderId="1" xfId="0" applyNumberFormat="1" applyFont="1" applyBorder="1"/>
    <xf numFmtId="3" fontId="5" fillId="0" borderId="1" xfId="0" applyNumberFormat="1" applyFont="1" applyBorder="1"/>
    <xf numFmtId="176" fontId="5" fillId="0" borderId="1" xfId="0" applyNumberFormat="1" applyFont="1" applyBorder="1"/>
    <xf numFmtId="0" fontId="5" fillId="4" borderId="1" xfId="0" applyFont="1" applyFill="1" applyBorder="1" applyAlignment="1">
      <alignment horizontal="center"/>
    </xf>
    <xf numFmtId="2" fontId="5" fillId="4" borderId="1" xfId="0" applyNumberFormat="1" applyFont="1" applyFill="1" applyBorder="1"/>
    <xf numFmtId="3" fontId="5" fillId="4" borderId="1" xfId="0" applyNumberFormat="1" applyFont="1" applyFill="1" applyBorder="1"/>
    <xf numFmtId="176" fontId="5" fillId="4" borderId="1" xfId="0" applyNumberFormat="1" applyFont="1" applyFill="1" applyBorder="1"/>
    <xf numFmtId="0" fontId="4" fillId="3" borderId="1" xfId="0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77" fontId="5" fillId="0" borderId="1" xfId="0" applyNumberFormat="1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activeCell="C14" sqref="C14"/>
    </sheetView>
  </sheetViews>
  <sheetFormatPr defaultRowHeight="17.399999999999999"/>
  <cols>
    <col min="1" max="1" width="10" customWidth="1"/>
    <col min="2" max="2" width="28" customWidth="1"/>
    <col min="3" max="3" width="38" customWidth="1"/>
    <col min="4" max="7" width="12" customWidth="1"/>
  </cols>
  <sheetData>
    <row r="1" spans="1:7" ht="25.2">
      <c r="A1" s="1" t="s">
        <v>0</v>
      </c>
    </row>
    <row r="2" spans="1:7">
      <c r="A2" s="2" t="s">
        <v>1</v>
      </c>
    </row>
    <row r="4" spans="1:7">
      <c r="A4" s="22" t="s">
        <v>2</v>
      </c>
      <c r="B4" s="23"/>
      <c r="C4" s="23"/>
      <c r="D4" s="23"/>
      <c r="E4" s="23"/>
      <c r="F4" s="23"/>
      <c r="G4" s="23"/>
    </row>
    <row r="6" spans="1:7">
      <c r="A6" s="3" t="s">
        <v>3</v>
      </c>
    </row>
    <row r="7" spans="1:7">
      <c r="A7" s="4" t="s">
        <v>4</v>
      </c>
      <c r="B7" s="4" t="s">
        <v>5</v>
      </c>
      <c r="C7" s="4" t="s">
        <v>6</v>
      </c>
    </row>
    <row r="8" spans="1:7">
      <c r="A8" s="5" t="s">
        <v>7</v>
      </c>
      <c r="B8" s="6" t="s">
        <v>8</v>
      </c>
      <c r="C8" s="6" t="str">
        <f>INDEX('KNN 계산 (정규화 데이터)'!$A$11:$A$18, MATCH(1, 'KNN 계산 (정규화 데이터)'!$G$11:$G$18, 0))</f>
        <v>female</v>
      </c>
    </row>
    <row r="9" spans="1:7">
      <c r="A9" s="5" t="s">
        <v>9</v>
      </c>
      <c r="B9" s="6" t="s">
        <v>10</v>
      </c>
      <c r="C9" s="6" t="s">
        <v>41</v>
      </c>
    </row>
    <row r="10" spans="1:7">
      <c r="A10" s="5" t="s">
        <v>12</v>
      </c>
      <c r="B10" s="6" t="s">
        <v>10</v>
      </c>
      <c r="C10" s="6" t="s">
        <v>11</v>
      </c>
    </row>
    <row r="12" spans="1:7">
      <c r="A12" s="3" t="s">
        <v>13</v>
      </c>
    </row>
    <row r="13" spans="1:7">
      <c r="A13" s="7" t="s">
        <v>14</v>
      </c>
    </row>
    <row r="14" spans="1:7">
      <c r="A14" s="7" t="s">
        <v>15</v>
      </c>
    </row>
  </sheetData>
  <mergeCells count="1">
    <mergeCell ref="A4:G4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tabSelected="1" workbookViewId="0">
      <selection activeCell="J15" sqref="J15"/>
    </sheetView>
  </sheetViews>
  <sheetFormatPr defaultRowHeight="17.399999999999999"/>
  <cols>
    <col min="1" max="1" width="26.796875" customWidth="1"/>
    <col min="2" max="2" width="12.296875" bestFit="1" customWidth="1"/>
    <col min="3" max="3" width="11.5" bestFit="1" customWidth="1"/>
    <col min="4" max="4" width="13.59765625" bestFit="1" customWidth="1"/>
    <col min="5" max="5" width="14" bestFit="1" customWidth="1"/>
    <col min="6" max="6" width="18.19921875" bestFit="1" customWidth="1"/>
    <col min="7" max="7" width="5.69921875" bestFit="1" customWidth="1"/>
  </cols>
  <sheetData>
    <row r="1" spans="1:7" ht="25.2">
      <c r="A1" s="1" t="s">
        <v>16</v>
      </c>
    </row>
    <row r="2" spans="1:7">
      <c r="A2" s="2" t="s">
        <v>17</v>
      </c>
    </row>
    <row r="4" spans="1:7">
      <c r="A4" s="3" t="s">
        <v>18</v>
      </c>
    </row>
    <row r="5" spans="1:7">
      <c r="A5" s="8" t="s">
        <v>19</v>
      </c>
      <c r="B5" s="8" t="s">
        <v>20</v>
      </c>
      <c r="C5" s="8" t="s">
        <v>21</v>
      </c>
    </row>
    <row r="6" spans="1:7">
      <c r="A6" s="5" t="s">
        <v>22</v>
      </c>
      <c r="B6" s="5">
        <v>6</v>
      </c>
      <c r="C6" s="5">
        <v>130</v>
      </c>
    </row>
    <row r="8" spans="1:7">
      <c r="A8" s="3" t="s">
        <v>23</v>
      </c>
    </row>
    <row r="9" spans="1:7">
      <c r="A9" s="9" t="s">
        <v>19</v>
      </c>
      <c r="B9" s="9" t="s">
        <v>20</v>
      </c>
      <c r="C9" s="9" t="s">
        <v>21</v>
      </c>
      <c r="D9" s="9" t="s">
        <v>24</v>
      </c>
      <c r="E9" s="9" t="s">
        <v>25</v>
      </c>
      <c r="F9" s="9" t="s">
        <v>26</v>
      </c>
      <c r="G9" s="9" t="s">
        <v>27</v>
      </c>
    </row>
    <row r="10" spans="1:7">
      <c r="A10" s="6" t="s">
        <v>28</v>
      </c>
      <c r="B10" s="10">
        <v>6</v>
      </c>
      <c r="C10" s="11">
        <v>180</v>
      </c>
      <c r="D10" s="12">
        <f t="shared" ref="D10:D17" si="0">(B10-$B$6)^2</f>
        <v>0</v>
      </c>
      <c r="E10" s="11">
        <f t="shared" ref="E10:E17" si="1">(C10-$C$6)^2</f>
        <v>2500</v>
      </c>
      <c r="F10" s="10">
        <f t="shared" ref="F10:F17" si="2">SQRT(D10+E10)</f>
        <v>50</v>
      </c>
      <c r="G10" s="6">
        <f>RANK(F10, $F$10:$F$17, 1)</f>
        <v>7</v>
      </c>
    </row>
    <row r="11" spans="1:7">
      <c r="A11" s="13" t="s">
        <v>28</v>
      </c>
      <c r="B11" s="14">
        <v>5.92</v>
      </c>
      <c r="C11" s="15">
        <v>190</v>
      </c>
      <c r="D11" s="16">
        <f t="shared" si="0"/>
        <v>6.4000000000000116E-3</v>
      </c>
      <c r="E11" s="15">
        <f t="shared" si="1"/>
        <v>3600</v>
      </c>
      <c r="F11" s="14">
        <f t="shared" si="2"/>
        <v>60.00005333330963</v>
      </c>
      <c r="G11" s="6">
        <f t="shared" ref="G11:G17" si="3">RANK(F11, $F$10:$F$17, 1)</f>
        <v>8</v>
      </c>
    </row>
    <row r="12" spans="1:7">
      <c r="A12" s="6" t="s">
        <v>28</v>
      </c>
      <c r="B12" s="10">
        <v>5.58</v>
      </c>
      <c r="C12" s="11">
        <v>170</v>
      </c>
      <c r="D12" s="12">
        <f t="shared" si="0"/>
        <v>0.17639999999999995</v>
      </c>
      <c r="E12" s="11">
        <f t="shared" si="1"/>
        <v>1600</v>
      </c>
      <c r="F12" s="10">
        <f t="shared" si="2"/>
        <v>40.002204939228037</v>
      </c>
      <c r="G12" s="6">
        <f t="shared" si="3"/>
        <v>6</v>
      </c>
    </row>
    <row r="13" spans="1:7">
      <c r="A13" s="13" t="s">
        <v>28</v>
      </c>
      <c r="B13" s="14">
        <v>5.92</v>
      </c>
      <c r="C13" s="15">
        <v>165</v>
      </c>
      <c r="D13" s="16">
        <f t="shared" si="0"/>
        <v>6.4000000000000116E-3</v>
      </c>
      <c r="E13" s="15">
        <f t="shared" si="1"/>
        <v>1225</v>
      </c>
      <c r="F13" s="14">
        <f t="shared" si="2"/>
        <v>35.000091428452009</v>
      </c>
      <c r="G13" s="6">
        <f t="shared" si="3"/>
        <v>5</v>
      </c>
    </row>
    <row r="14" spans="1:7">
      <c r="A14" s="6" t="s">
        <v>8</v>
      </c>
      <c r="B14" s="10">
        <v>5</v>
      </c>
      <c r="C14" s="11">
        <v>100</v>
      </c>
      <c r="D14" s="12">
        <f t="shared" si="0"/>
        <v>1</v>
      </c>
      <c r="E14" s="11">
        <f t="shared" si="1"/>
        <v>900</v>
      </c>
      <c r="F14" s="10">
        <f t="shared" si="2"/>
        <v>30.016662039607269</v>
      </c>
      <c r="G14" s="6">
        <f t="shared" si="3"/>
        <v>4</v>
      </c>
    </row>
    <row r="15" spans="1:7">
      <c r="A15" s="13" t="s">
        <v>8</v>
      </c>
      <c r="B15" s="14">
        <v>5.5</v>
      </c>
      <c r="C15" s="15">
        <v>150</v>
      </c>
      <c r="D15" s="16">
        <f t="shared" si="0"/>
        <v>0.25</v>
      </c>
      <c r="E15" s="15">
        <f t="shared" si="1"/>
        <v>400</v>
      </c>
      <c r="F15" s="14">
        <f t="shared" si="2"/>
        <v>20.006249023742555</v>
      </c>
      <c r="G15" s="6">
        <f t="shared" si="3"/>
        <v>3</v>
      </c>
    </row>
    <row r="16" spans="1:7">
      <c r="A16" s="6" t="s">
        <v>8</v>
      </c>
      <c r="B16" s="10">
        <v>5.42</v>
      </c>
      <c r="C16" s="11">
        <v>130</v>
      </c>
      <c r="D16" s="12">
        <f t="shared" si="0"/>
        <v>0.33640000000000009</v>
      </c>
      <c r="E16" s="11">
        <f t="shared" si="1"/>
        <v>0</v>
      </c>
      <c r="F16" s="10">
        <f t="shared" si="2"/>
        <v>0.58000000000000007</v>
      </c>
      <c r="G16" s="6">
        <f t="shared" si="3"/>
        <v>1</v>
      </c>
    </row>
    <row r="17" spans="1:7">
      <c r="A17" s="13" t="s">
        <v>8</v>
      </c>
      <c r="B17" s="14">
        <v>5.75</v>
      </c>
      <c r="C17" s="15">
        <v>150</v>
      </c>
      <c r="D17" s="16">
        <f t="shared" si="0"/>
        <v>6.25E-2</v>
      </c>
      <c r="E17" s="15">
        <f t="shared" si="1"/>
        <v>400</v>
      </c>
      <c r="F17" s="14">
        <f t="shared" si="2"/>
        <v>20.001562438969611</v>
      </c>
      <c r="G17" s="6">
        <f t="shared" si="3"/>
        <v>2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topLeftCell="B1" workbookViewId="0">
      <selection activeCell="B1" sqref="A1:XFD1048576"/>
    </sheetView>
  </sheetViews>
  <sheetFormatPr defaultRowHeight="17.399999999999999"/>
  <cols>
    <col min="1" max="1" width="77" bestFit="1" customWidth="1"/>
    <col min="2" max="2" width="12.296875" bestFit="1" customWidth="1"/>
    <col min="3" max="3" width="11.5" bestFit="1" customWidth="1"/>
    <col min="4" max="4" width="10.796875" bestFit="1" customWidth="1"/>
    <col min="5" max="5" width="11.19921875" bestFit="1" customWidth="1"/>
    <col min="6" max="6" width="18.19921875" bestFit="1" customWidth="1"/>
    <col min="7" max="7" width="5.69921875" bestFit="1" customWidth="1"/>
    <col min="8" max="8" width="12" customWidth="1"/>
    <col min="9" max="9" width="17.69921875" bestFit="1" customWidth="1"/>
    <col min="10" max="10" width="9.3984375" bestFit="1" customWidth="1"/>
  </cols>
  <sheetData>
    <row r="1" spans="1:10" ht="25.2">
      <c r="A1" s="1" t="s">
        <v>29</v>
      </c>
    </row>
    <row r="2" spans="1:10">
      <c r="A2" s="2" t="s">
        <v>30</v>
      </c>
    </row>
    <row r="4" spans="1:10">
      <c r="A4" s="3" t="s">
        <v>31</v>
      </c>
    </row>
    <row r="5" spans="1:10">
      <c r="A5" s="17" t="s">
        <v>32</v>
      </c>
      <c r="B5" s="17" t="s">
        <v>20</v>
      </c>
      <c r="C5" s="17" t="s">
        <v>21</v>
      </c>
    </row>
    <row r="6" spans="1:10">
      <c r="A6" s="6" t="s">
        <v>33</v>
      </c>
      <c r="B6" s="18">
        <f>AVERAGE('KNN 계산 (원본 데이터)'!B10:B17)</f>
        <v>5.6362500000000004</v>
      </c>
      <c r="C6" s="19">
        <f>AVERAGE('KNN 계산 (원본 데이터)'!C10:C17)</f>
        <v>154.375</v>
      </c>
    </row>
    <row r="7" spans="1:10">
      <c r="A7" s="6" t="s">
        <v>34</v>
      </c>
      <c r="B7" s="18">
        <f>_xlfn.STDEV.S('KNN 계산 (원본 데이터)'!B10:B17)</f>
        <v>0.33372090563394863</v>
      </c>
      <c r="C7" s="18">
        <f>_xlfn.STDEV.S('KNN 계산 (원본 데이터)'!C10:C17)</f>
        <v>28.962722346393573</v>
      </c>
    </row>
    <row r="9" spans="1:10">
      <c r="A9" s="3" t="s">
        <v>35</v>
      </c>
    </row>
    <row r="10" spans="1:10">
      <c r="A10" s="9" t="s">
        <v>19</v>
      </c>
      <c r="B10" s="9" t="s">
        <v>36</v>
      </c>
      <c r="C10" s="9" t="s">
        <v>37</v>
      </c>
      <c r="D10" s="9" t="s">
        <v>38</v>
      </c>
      <c r="E10" s="9" t="s">
        <v>39</v>
      </c>
      <c r="F10" s="9" t="s">
        <v>26</v>
      </c>
      <c r="G10" s="9" t="s">
        <v>27</v>
      </c>
      <c r="I10" s="3" t="s">
        <v>40</v>
      </c>
    </row>
    <row r="11" spans="1:10">
      <c r="A11" s="13" t="s">
        <v>28</v>
      </c>
      <c r="B11" s="14">
        <f>('KNN 계산 (원본 데이터)'!B10-$B$6)/$B$7</f>
        <v>1.0899826587399628</v>
      </c>
      <c r="C11" s="14">
        <f>('KNN 계산 (원본 데이터)'!C10-$C$6)/$C$7</f>
        <v>0.88475798971952702</v>
      </c>
      <c r="D11" s="16">
        <f t="shared" ref="D11:D18" si="0">(B11-$I$12)^2</f>
        <v>0</v>
      </c>
      <c r="E11" s="16">
        <f t="shared" ref="E11:E18" si="1">(C11-$J$12)^2</f>
        <v>2.980308674827036</v>
      </c>
      <c r="F11" s="14">
        <f t="shared" ref="F11:F18" si="2">SQRT(D11+E11)</f>
        <v>1.7263570531112722</v>
      </c>
      <c r="G11" s="13">
        <f>RANK(F11, $F$11:$F$18, 1)</f>
        <v>4</v>
      </c>
      <c r="I11" s="20" t="s">
        <v>36</v>
      </c>
      <c r="J11" s="20" t="s">
        <v>37</v>
      </c>
    </row>
    <row r="12" spans="1:10">
      <c r="A12" s="6" t="s">
        <v>28</v>
      </c>
      <c r="B12" s="10">
        <f>('KNN 계산 (원본 데이터)'!B11-$B$6)/$B$7</f>
        <v>0.85026138671467844</v>
      </c>
      <c r="C12" s="10">
        <f>('KNN 계산 (원본 데이터)'!C11-$C$6)/$C$7</f>
        <v>1.2300294003417815</v>
      </c>
      <c r="D12" s="12">
        <f t="shared" si="0"/>
        <v>5.746628826142039E-2</v>
      </c>
      <c r="E12" s="12">
        <f t="shared" si="1"/>
        <v>4.2916444917509322</v>
      </c>
      <c r="F12" s="10">
        <f t="shared" si="2"/>
        <v>2.0854521763906151</v>
      </c>
      <c r="G12" s="13">
        <f t="shared" ref="G12:G18" si="3">RANK(F12, $F$11:$F$18, 1)</f>
        <v>7</v>
      </c>
      <c r="I12" s="21">
        <f>('KNN 계산 (원본 데이터)'!B6-$B$6)/$B$7</f>
        <v>1.0899826587399628</v>
      </c>
      <c r="J12" s="21">
        <f>('KNN 계산 (원본 데이터)'!C6-$C$6)/$C$7</f>
        <v>-0.84159906339174517</v>
      </c>
    </row>
    <row r="13" spans="1:10">
      <c r="A13" s="13" t="s">
        <v>28</v>
      </c>
      <c r="B13" s="14">
        <f>('KNN 계산 (원본 데이터)'!B12-$B$6)/$B$7</f>
        <v>-0.16855401939277903</v>
      </c>
      <c r="C13" s="14">
        <f>('KNN 계산 (원본 데이터)'!C12-$C$6)/$C$7</f>
        <v>0.5394865790972726</v>
      </c>
      <c r="D13" s="16">
        <f t="shared" si="0"/>
        <v>1.5839145702053967</v>
      </c>
      <c r="E13" s="16">
        <f t="shared" si="1"/>
        <v>1.9073975518893027</v>
      </c>
      <c r="F13" s="14">
        <f t="shared" si="2"/>
        <v>1.8685053176522404</v>
      </c>
      <c r="G13" s="13">
        <f t="shared" si="3"/>
        <v>6</v>
      </c>
    </row>
    <row r="14" spans="1:10">
      <c r="A14" s="6" t="s">
        <v>28</v>
      </c>
      <c r="B14" s="10">
        <f>('KNN 계산 (원본 데이터)'!B13-$B$6)/$B$7</f>
        <v>0.85026138671467844</v>
      </c>
      <c r="C14" s="10">
        <f>('KNN 계산 (원본 데이터)'!C13-$C$6)/$C$7</f>
        <v>0.36685087378614534</v>
      </c>
      <c r="D14" s="12">
        <f t="shared" si="0"/>
        <v>5.746628826142039E-2</v>
      </c>
      <c r="E14" s="12">
        <f t="shared" si="1"/>
        <v>1.4603512506652476</v>
      </c>
      <c r="F14" s="10">
        <f t="shared" si="2"/>
        <v>1.2319973778083571</v>
      </c>
      <c r="G14" s="13">
        <f t="shared" si="3"/>
        <v>2</v>
      </c>
    </row>
    <row r="15" spans="1:10">
      <c r="A15" s="13" t="s">
        <v>8</v>
      </c>
      <c r="B15" s="14">
        <f>('KNN 계산 (원본 데이터)'!B14-$B$6)/$B$7</f>
        <v>-1.9065332415760898</v>
      </c>
      <c r="C15" s="14">
        <f>('KNN 계산 (원본 데이터)'!C14-$C$6)/$C$7</f>
        <v>-1.8774132952585085</v>
      </c>
      <c r="D15" s="16">
        <f t="shared" si="0"/>
        <v>8.9791075408469219</v>
      </c>
      <c r="E15" s="16">
        <f t="shared" si="1"/>
        <v>1.0729111229377331</v>
      </c>
      <c r="F15" s="14">
        <f t="shared" si="2"/>
        <v>3.1704918646457139</v>
      </c>
      <c r="G15" s="13">
        <f t="shared" si="3"/>
        <v>8</v>
      </c>
    </row>
    <row r="16" spans="1:10">
      <c r="A16" s="6" t="s">
        <v>8</v>
      </c>
      <c r="B16" s="10">
        <f>('KNN 계산 (원본 데이터)'!B15-$B$6)/$B$7</f>
        <v>-0.40827529141806346</v>
      </c>
      <c r="C16" s="10">
        <f>('KNN 계산 (원본 데이터)'!C15-$C$6)/$C$7</f>
        <v>-0.15105624214723631</v>
      </c>
      <c r="D16" s="12">
        <f t="shared" si="0"/>
        <v>2.2447768852117305</v>
      </c>
      <c r="E16" s="12">
        <f t="shared" si="1"/>
        <v>0.47684938797232568</v>
      </c>
      <c r="F16" s="10">
        <f t="shared" si="2"/>
        <v>1.6497352130520995</v>
      </c>
      <c r="G16" s="13">
        <f t="shared" si="3"/>
        <v>3</v>
      </c>
    </row>
    <row r="17" spans="1:7">
      <c r="A17" s="13" t="s">
        <v>8</v>
      </c>
      <c r="B17" s="14">
        <f>('KNN 계산 (원본 데이터)'!B16-$B$6)/$B$7</f>
        <v>-0.64799656344334788</v>
      </c>
      <c r="C17" s="14">
        <f>('KNN 계산 (원본 데이터)'!C16-$C$6)/$C$7</f>
        <v>-0.84159906339174517</v>
      </c>
      <c r="D17" s="16">
        <f t="shared" si="0"/>
        <v>3.0205717767409053</v>
      </c>
      <c r="E17" s="16">
        <f t="shared" si="1"/>
        <v>0</v>
      </c>
      <c r="F17" s="14">
        <f t="shared" si="2"/>
        <v>1.7379792221833106</v>
      </c>
      <c r="G17" s="13">
        <f t="shared" si="3"/>
        <v>5</v>
      </c>
    </row>
    <row r="18" spans="1:7">
      <c r="A18" s="6" t="s">
        <v>8</v>
      </c>
      <c r="B18" s="10">
        <f>('KNN 계산 (원본 데이터)'!B17-$B$6)/$B$7</f>
        <v>0.3408536836609497</v>
      </c>
      <c r="C18" s="10">
        <f>('KNN 계산 (원본 데이터)'!C17-$C$6)/$C$7</f>
        <v>-0.15105624214723631</v>
      </c>
      <c r="D18" s="12">
        <f t="shared" si="0"/>
        <v>0.56119422130293262</v>
      </c>
      <c r="E18" s="12">
        <f t="shared" si="1"/>
        <v>0.47684938797232568</v>
      </c>
      <c r="F18" s="10">
        <f t="shared" si="2"/>
        <v>1.0188442517260714</v>
      </c>
      <c r="G18" s="13">
        <f t="shared" si="3"/>
        <v>1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요약 및 결과</vt:lpstr>
      <vt:lpstr>KNN 계산 (원본 데이터)</vt:lpstr>
      <vt:lpstr>KNN 계산 (정규화 데이터)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Sanggoo Cho</cp:lastModifiedBy>
  <dcterms:created xsi:type="dcterms:W3CDTF">2026-07-13T23:54:05Z</dcterms:created>
  <dcterms:modified xsi:type="dcterms:W3CDTF">2026-07-14T00:06:40Z</dcterms:modified>
</cp:coreProperties>
</file>