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13_ncr:1_{2F48C0FE-F399-4FE1-8978-EEA5A08A85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로지스틱 회귀 요약" sheetId="1" r:id="rId1"/>
    <sheet name="로지스틱 회귀 계산" sheetId="2" r:id="rId2"/>
  </sheets>
  <calcPr calcId="191029"/>
</workbook>
</file>

<file path=xl/calcChain.xml><?xml version="1.0" encoding="utf-8"?>
<calcChain xmlns="http://schemas.openxmlformats.org/spreadsheetml/2006/main">
  <c r="D15" i="2" l="1"/>
  <c r="C15" i="2"/>
  <c r="D14" i="2" l="1"/>
  <c r="C14" i="2"/>
  <c r="F6" i="2"/>
  <c r="D18" i="2"/>
  <c r="E18" i="2" s="1"/>
  <c r="F18" i="2" s="1"/>
  <c r="E13" i="2"/>
  <c r="G13" i="2" s="1"/>
  <c r="H13" i="2" s="1"/>
  <c r="E12" i="2"/>
  <c r="G12" i="2" s="1"/>
  <c r="H12" i="2" s="1"/>
  <c r="E11" i="2"/>
  <c r="G11" i="2" s="1"/>
  <c r="H11" i="2" s="1"/>
  <c r="E10" i="2"/>
  <c r="G10" i="2" s="1"/>
  <c r="H10" i="2" s="1"/>
  <c r="E9" i="2"/>
  <c r="G9" i="2" s="1"/>
  <c r="H9" i="2" s="1"/>
  <c r="E8" i="2"/>
  <c r="G8" i="2" s="1"/>
  <c r="H8" i="2" s="1"/>
  <c r="E7" i="2"/>
  <c r="G7" i="2" s="1"/>
  <c r="H7" i="2" s="1"/>
  <c r="E6" i="2"/>
  <c r="G6" i="2" s="1"/>
  <c r="H6" i="2" s="1"/>
  <c r="F7" i="2" l="1"/>
  <c r="F9" i="2"/>
  <c r="F11" i="2"/>
  <c r="F13" i="2"/>
  <c r="F8" i="2"/>
  <c r="F10" i="2"/>
  <c r="F12" i="2"/>
</calcChain>
</file>

<file path=xl/sharedStrings.xml><?xml version="1.0" encoding="utf-8"?>
<sst xmlns="http://schemas.openxmlformats.org/spreadsheetml/2006/main" count="41" uniqueCount="32">
  <si>
    <t>로지스틱 회귀분석 기반 성별 분류 요약</t>
  </si>
  <si>
    <t>■ 분류 결과 개요</t>
  </si>
  <si>
    <t>분류 대상 데이터 (별첨 2): 신장 6.0 feet, 체중 130 lbs</t>
  </si>
  <si>
    <t>예측 확률 P(Male): 0.00% (소수점 아래 10자리 이하 수준으로 0에 수렴)</t>
  </si>
  <si>
    <t>최종 예측 판정: Female (여성)</t>
  </si>
  <si>
    <t>■ 알고리즘 원리 및 해석</t>
  </si>
  <si>
    <t>1. 로지스틱 회귀분석은 데이터가 특정 클래스(여기서는 남성=1)에 속할 확률을 0과 1 사이의 S자 곡선(Sigmoid) 형태로 예측합니다.</t>
  </si>
  <si>
    <t>2. 학습 데이터셋의 패턴상, 남성은 키와 몸무게가 모두 큰 쪽에 고르게 분포하고 있으나, 신규 샘플은 키가 크더라도 몸무게(130 lbs)가 남성 하한선(165 lbs)에 한참 못 미칩니다.</t>
  </si>
  <si>
    <t>3. 이에 따라 회귀 모델이 계산한 선형 함수값 z는 약 -210의 큰 음수가 되며, 이를 시그모이드 함수 함수식에 넣으면 남성일 확률이 사실상 0%가 되어 최종적으로 '여성(Female)' 판정을 내리게 됩니다.</t>
  </si>
  <si>
    <t>로지스틱 회귀분석 (Logistic Regression) 엑셀 구현</t>
  </si>
  <si>
    <t>최대우도추정법(MLE)으로 산출된 회귀계수를 적용하여 사후 확률을 계산합니다.</t>
  </si>
  <si>
    <t>회귀계수 (Beta)</t>
  </si>
  <si>
    <t>Person</t>
  </si>
  <si>
    <t>y (Male=1)</t>
  </si>
  <si>
    <t>height (x₁)</t>
  </si>
  <si>
    <t>weight (x₂)</t>
  </si>
  <si>
    <t>선형결합 (z)</t>
  </si>
  <si>
    <t>e^z</t>
  </si>
  <si>
    <t>예측확률 P(Y=1)</t>
  </si>
  <si>
    <t>예측분류</t>
  </si>
  <si>
    <t>변수명</t>
  </si>
  <si>
    <t>계수값 (Value)</t>
  </si>
  <si>
    <t>male</t>
  </si>
  <si>
    <t>Intercept (β₀)</t>
  </si>
  <si>
    <t>Height (β₁)</t>
  </si>
  <si>
    <t>Weight (β₂)</t>
  </si>
  <si>
    <t>female</t>
  </si>
  <si>
    <t>신규 데이터 분류 예측 (별첨 2)</t>
  </si>
  <si>
    <t>남성 확률 P(Y=1)</t>
  </si>
  <si>
    <t>최종 예측 분류</t>
  </si>
  <si>
    <t>평균</t>
    <phoneticPr fontId="6" type="noConversion"/>
  </si>
  <si>
    <t>표준편차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</si>
</sst>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>
    <font>
      <sz val="11"/>
      <color theme="1"/>
      <name val="맑은 고딕"/>
      <family val="2"/>
      <scheme val="minor"/>
    </font>
    <font>
      <b/>
      <sz val="16"/>
      <color rgb="FF1B365D"/>
      <name val="Malgun Gothic"/>
      <family val="3"/>
      <charset val="129"/>
    </font>
    <font>
      <i/>
      <sz val="11"/>
      <color rgb="FF555555"/>
      <name val="Malgun Gothic"/>
      <family val="3"/>
      <charset val="129"/>
    </font>
    <font>
      <b/>
      <sz val="1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4A5568"/>
        <bgColor rgb="FF4A5568"/>
      </patternFill>
    </fill>
    <fill>
      <patternFill patternType="solid">
        <fgColor rgb="FFFFE6E6"/>
        <bgColor rgb="FFFFE6E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/>
    <xf numFmtId="3" fontId="5" fillId="0" borderId="1" xfId="0" applyNumberFormat="1" applyFont="1" applyBorder="1"/>
    <xf numFmtId="176" fontId="5" fillId="0" borderId="1" xfId="0" applyNumberFormat="1" applyFont="1" applyBorder="1"/>
    <xf numFmtId="10" fontId="5" fillId="0" borderId="1" xfId="0" applyNumberFormat="1" applyFont="1" applyBorder="1"/>
    <xf numFmtId="0" fontId="3" fillId="0" borderId="1" xfId="0" applyFont="1" applyBorder="1" applyAlignment="1">
      <alignment horizontal="center"/>
    </xf>
    <xf numFmtId="176" fontId="0" fillId="0" borderId="1" xfId="0" applyNumberForma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2" fontId="5" fillId="3" borderId="1" xfId="0" applyNumberFormat="1" applyFont="1" applyFill="1" applyBorder="1"/>
    <xf numFmtId="3" fontId="5" fillId="3" borderId="1" xfId="0" applyNumberFormat="1" applyFont="1" applyFill="1" applyBorder="1"/>
    <xf numFmtId="176" fontId="5" fillId="3" borderId="1" xfId="0" applyNumberFormat="1" applyFont="1" applyFill="1" applyBorder="1"/>
    <xf numFmtId="10" fontId="5" fillId="3" borderId="1" xfId="0" applyNumberFormat="1" applyFont="1" applyFill="1" applyBorder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2" fontId="0" fillId="0" borderId="1" xfId="0" applyNumberFormat="1" applyBorder="1"/>
    <xf numFmtId="3" fontId="0" fillId="0" borderId="1" xfId="0" applyNumberFormat="1" applyBorder="1"/>
    <xf numFmtId="10" fontId="0" fillId="0" borderId="1" xfId="0" applyNumberFormat="1" applyBorder="1"/>
    <xf numFmtId="0" fontId="3" fillId="5" borderId="1" xfId="0" applyFont="1" applyFill="1" applyBorder="1" applyAlignment="1">
      <alignment horizontal="center"/>
    </xf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19" sqref="A19"/>
    </sheetView>
  </sheetViews>
  <sheetFormatPr defaultRowHeight="17.399999999999999"/>
  <cols>
    <col min="1" max="1" width="122" customWidth="1"/>
  </cols>
  <sheetData>
    <row r="1" spans="1:1" ht="25.2">
      <c r="A1" s="1" t="s">
        <v>0</v>
      </c>
    </row>
    <row r="4" spans="1:1">
      <c r="A4" s="2" t="s">
        <v>1</v>
      </c>
    </row>
    <row r="5" spans="1:1">
      <c r="A5" s="3" t="s">
        <v>2</v>
      </c>
    </row>
    <row r="6" spans="1:1">
      <c r="A6" s="3" t="s">
        <v>3</v>
      </c>
    </row>
    <row r="7" spans="1:1">
      <c r="A7" s="2" t="s">
        <v>4</v>
      </c>
    </row>
    <row r="9" spans="1:1">
      <c r="A9" s="2" t="s">
        <v>5</v>
      </c>
    </row>
    <row r="10" spans="1:1">
      <c r="A10" s="3" t="s">
        <v>6</v>
      </c>
    </row>
    <row r="11" spans="1:1">
      <c r="A11" s="3" t="s">
        <v>7</v>
      </c>
    </row>
    <row r="12" spans="1:1">
      <c r="A12" s="3" t="s">
        <v>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topLeftCell="B1" workbookViewId="0">
      <selection activeCell="H17" sqref="H17"/>
    </sheetView>
  </sheetViews>
  <sheetFormatPr defaultRowHeight="17.399999999999999"/>
  <cols>
    <col min="1" max="1" width="12" customWidth="1"/>
    <col min="2" max="3" width="14" customWidth="1"/>
    <col min="4" max="4" width="30" customWidth="1"/>
    <col min="5" max="5" width="14" customWidth="1"/>
    <col min="6" max="6" width="29.3984375" customWidth="1"/>
    <col min="7" max="7" width="18" customWidth="1"/>
    <col min="8" max="8" width="34" customWidth="1"/>
    <col min="9" max="9" width="17" customWidth="1"/>
    <col min="10" max="10" width="14" customWidth="1"/>
  </cols>
  <sheetData>
    <row r="1" spans="1:10" ht="25.2">
      <c r="A1" s="1" t="s">
        <v>9</v>
      </c>
    </row>
    <row r="2" spans="1:10">
      <c r="A2" s="4" t="s">
        <v>10</v>
      </c>
    </row>
    <row r="4" spans="1:10">
      <c r="I4" s="2" t="s">
        <v>11</v>
      </c>
    </row>
    <row r="5" spans="1:10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6" t="s">
        <v>20</v>
      </c>
      <c r="J5" s="6" t="s">
        <v>21</v>
      </c>
    </row>
    <row r="6" spans="1:10">
      <c r="A6" s="7" t="s">
        <v>22</v>
      </c>
      <c r="B6" s="7">
        <v>1</v>
      </c>
      <c r="C6" s="8">
        <v>6</v>
      </c>
      <c r="D6" s="9">
        <v>180</v>
      </c>
      <c r="E6" s="8">
        <f t="shared" ref="E6:E13" si="0">$J$6 + $J$7*C6 + $J$8*D6</f>
        <v>89.060199999999895</v>
      </c>
      <c r="F6" s="10">
        <f>EXP(E6)</f>
        <v>4.7681885135826673E+38</v>
      </c>
      <c r="G6" s="11">
        <f t="shared" ref="G6:G13" si="1">1 / (1 + EXP(-E6))</f>
        <v>1</v>
      </c>
      <c r="H6" s="7" t="str">
        <f t="shared" ref="H6:H13" si="2">IF(G6&gt;=0.5, "male", "female")</f>
        <v>male</v>
      </c>
      <c r="I6" s="12" t="s">
        <v>23</v>
      </c>
      <c r="J6" s="13">
        <v>-38.714599999999997</v>
      </c>
    </row>
    <row r="7" spans="1:10">
      <c r="A7" s="14" t="s">
        <v>22</v>
      </c>
      <c r="B7" s="14">
        <v>1</v>
      </c>
      <c r="C7" s="15">
        <v>5.92</v>
      </c>
      <c r="D7" s="16">
        <v>190</v>
      </c>
      <c r="E7" s="15">
        <f t="shared" si="0"/>
        <v>161.64493599999992</v>
      </c>
      <c r="F7" s="17">
        <f t="shared" ref="F6:F13" si="3">EXP(E7)</f>
        <v>1.5903903518621713E+70</v>
      </c>
      <c r="G7" s="18">
        <f t="shared" si="1"/>
        <v>1</v>
      </c>
      <c r="H7" s="14" t="str">
        <f t="shared" si="2"/>
        <v>male</v>
      </c>
      <c r="I7" s="12" t="s">
        <v>24</v>
      </c>
      <c r="J7" s="13">
        <v>-158.4342</v>
      </c>
    </row>
    <row r="8" spans="1:10">
      <c r="A8" s="7" t="s">
        <v>22</v>
      </c>
      <c r="B8" s="7">
        <v>1</v>
      </c>
      <c r="C8" s="8">
        <v>5.58</v>
      </c>
      <c r="D8" s="9">
        <v>170</v>
      </c>
      <c r="E8" s="8">
        <f t="shared" si="0"/>
        <v>95.692563999999834</v>
      </c>
      <c r="F8" s="10">
        <f t="shared" si="3"/>
        <v>3.620366222814233E+41</v>
      </c>
      <c r="G8" s="11">
        <f t="shared" si="1"/>
        <v>1</v>
      </c>
      <c r="H8" s="7" t="str">
        <f t="shared" si="2"/>
        <v>male</v>
      </c>
      <c r="I8" s="12" t="s">
        <v>25</v>
      </c>
      <c r="J8" s="13">
        <v>5.9909999999999997</v>
      </c>
    </row>
    <row r="9" spans="1:10">
      <c r="A9" s="14" t="s">
        <v>22</v>
      </c>
      <c r="B9" s="14">
        <v>1</v>
      </c>
      <c r="C9" s="15">
        <v>5.92</v>
      </c>
      <c r="D9" s="16">
        <v>165</v>
      </c>
      <c r="E9" s="15">
        <f t="shared" si="0"/>
        <v>11.869935999999939</v>
      </c>
      <c r="F9" s="17">
        <f t="shared" si="3"/>
        <v>142905.09248685255</v>
      </c>
      <c r="G9" s="18">
        <f t="shared" si="1"/>
        <v>0.99999300239771038</v>
      </c>
      <c r="H9" s="14" t="str">
        <f t="shared" si="2"/>
        <v>male</v>
      </c>
    </row>
    <row r="10" spans="1:10">
      <c r="A10" s="7" t="s">
        <v>26</v>
      </c>
      <c r="B10" s="7">
        <v>0</v>
      </c>
      <c r="C10" s="8">
        <v>5</v>
      </c>
      <c r="D10" s="9">
        <v>100</v>
      </c>
      <c r="E10" s="8">
        <f t="shared" si="0"/>
        <v>-231.78560000000016</v>
      </c>
      <c r="F10" s="10">
        <f t="shared" si="3"/>
        <v>2.1716655167472262E-101</v>
      </c>
      <c r="G10" s="11">
        <f t="shared" si="1"/>
        <v>2.1716655167472262E-101</v>
      </c>
      <c r="H10" s="7" t="str">
        <f t="shared" si="2"/>
        <v>female</v>
      </c>
    </row>
    <row r="11" spans="1:10">
      <c r="A11" s="14" t="s">
        <v>26</v>
      </c>
      <c r="B11" s="14">
        <v>0</v>
      </c>
      <c r="C11" s="15">
        <v>5.5</v>
      </c>
      <c r="D11" s="16">
        <v>150</v>
      </c>
      <c r="E11" s="15">
        <f t="shared" si="0"/>
        <v>-11.45270000000005</v>
      </c>
      <c r="F11" s="17">
        <f t="shared" si="3"/>
        <v>1.0620759804816293E-5</v>
      </c>
      <c r="G11" s="18">
        <f t="shared" si="1"/>
        <v>1.0620647005475477E-5</v>
      </c>
      <c r="H11" s="14" t="str">
        <f t="shared" si="2"/>
        <v>female</v>
      </c>
    </row>
    <row r="12" spans="1:10">
      <c r="A12" s="7" t="s">
        <v>26</v>
      </c>
      <c r="B12" s="7">
        <v>0</v>
      </c>
      <c r="C12" s="8">
        <v>5.42</v>
      </c>
      <c r="D12" s="9">
        <v>130</v>
      </c>
      <c r="E12" s="8">
        <f t="shared" si="0"/>
        <v>-118.59796400000005</v>
      </c>
      <c r="F12" s="10">
        <f t="shared" si="3"/>
        <v>3.1157217775583198E-52</v>
      </c>
      <c r="G12" s="11">
        <f t="shared" si="1"/>
        <v>3.1157217775583194E-52</v>
      </c>
      <c r="H12" s="7" t="str">
        <f t="shared" si="2"/>
        <v>female</v>
      </c>
    </row>
    <row r="13" spans="1:10">
      <c r="A13" s="14" t="s">
        <v>26</v>
      </c>
      <c r="B13" s="14">
        <v>0</v>
      </c>
      <c r="C13" s="15">
        <v>5.75</v>
      </c>
      <c r="D13" s="16">
        <v>150</v>
      </c>
      <c r="E13" s="15">
        <f t="shared" si="0"/>
        <v>-51.061250000000086</v>
      </c>
      <c r="F13" s="17">
        <f t="shared" si="3"/>
        <v>6.6739183009545206E-23</v>
      </c>
      <c r="G13" s="18">
        <f t="shared" si="1"/>
        <v>6.6739183009545206E-23</v>
      </c>
      <c r="H13" s="14" t="str">
        <f t="shared" si="2"/>
        <v>female</v>
      </c>
    </row>
    <row r="14" spans="1:10">
      <c r="B14" t="s">
        <v>30</v>
      </c>
      <c r="C14" s="25">
        <f>AVERAGE(C6:C13)</f>
        <v>5.6362500000000004</v>
      </c>
      <c r="D14" s="25">
        <f>AVERAGE(D6:D13)</f>
        <v>154.375</v>
      </c>
    </row>
    <row r="15" spans="1:10">
      <c r="B15" t="s">
        <v>31</v>
      </c>
      <c r="C15">
        <f>_xlfn.STDEV.S(C6:C13)</f>
        <v>0.33372090563394863</v>
      </c>
      <c r="D15">
        <f>_xlfn.STDEV.S(D6:D13)</f>
        <v>28.962722346393573</v>
      </c>
    </row>
    <row r="16" spans="1:10">
      <c r="A16" s="2" t="s">
        <v>27</v>
      </c>
    </row>
    <row r="17" spans="2:6">
      <c r="B17" s="19" t="s">
        <v>14</v>
      </c>
      <c r="C17" s="19" t="s">
        <v>15</v>
      </c>
      <c r="D17" s="20" t="s">
        <v>16</v>
      </c>
      <c r="E17" s="20" t="s">
        <v>28</v>
      </c>
      <c r="F17" s="20" t="s">
        <v>29</v>
      </c>
    </row>
    <row r="18" spans="2:6">
      <c r="B18" s="21">
        <v>6</v>
      </c>
      <c r="C18" s="22">
        <v>130</v>
      </c>
      <c r="D18" s="21">
        <f>$J$6 + $J$7*B18 + $J$8*C18</f>
        <v>-210.48980000000006</v>
      </c>
      <c r="E18" s="23">
        <f>1 / (1 + EXP(-D18))</f>
        <v>3.8498283213647834E-92</v>
      </c>
      <c r="F18" s="24" t="str">
        <f>IF(E18&gt;=0.5, "male", "female")</f>
        <v>female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로지스틱 회귀 요약</vt:lpstr>
      <vt:lpstr>로지스틱 회귀 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Sanggoo Cho</cp:lastModifiedBy>
  <dcterms:created xsi:type="dcterms:W3CDTF">2026-07-14T01:22:18Z</dcterms:created>
  <dcterms:modified xsi:type="dcterms:W3CDTF">2026-07-14T01:38:41Z</dcterms:modified>
</cp:coreProperties>
</file>