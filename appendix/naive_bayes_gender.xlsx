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조근하\Downloads\"/>
    </mc:Choice>
  </mc:AlternateContent>
  <xr:revisionPtr revIDLastSave="0" documentId="13_ncr:1_{11F171A3-E64E-4E57-9736-54DA85746C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나이브 베이즈 요약" sheetId="1" r:id="rId1"/>
    <sheet name="나이브 베이즈 계산" sheetId="2" r:id="rId2"/>
  </sheets>
  <calcPr calcId="191029"/>
</workbook>
</file>

<file path=xl/calcChain.xml><?xml version="1.0" encoding="utf-8"?>
<calcChain xmlns="http://schemas.openxmlformats.org/spreadsheetml/2006/main">
  <c r="H13" i="2" l="1"/>
  <c r="H12" i="2"/>
  <c r="G13" i="2"/>
  <c r="G12" i="2"/>
  <c r="I7" i="2"/>
  <c r="I6" i="2"/>
  <c r="G7" i="2"/>
  <c r="G6" i="2"/>
  <c r="F13" i="2"/>
  <c r="F12" i="2"/>
  <c r="H7" i="2"/>
  <c r="F7" i="2"/>
  <c r="H6" i="2"/>
  <c r="F6" i="2"/>
  <c r="I13" i="2" l="1"/>
  <c r="I12" i="2"/>
  <c r="J12" i="2" s="1"/>
  <c r="J13" i="2"/>
  <c r="F15" i="2" s="1"/>
</calcChain>
</file>

<file path=xl/sharedStrings.xml><?xml version="1.0" encoding="utf-8"?>
<sst xmlns="http://schemas.openxmlformats.org/spreadsheetml/2006/main" count="45" uniqueCount="35">
  <si>
    <t>나이브 베이즈 분류 모델 결과 요약</t>
  </si>
  <si>
    <t>■ 신규 데이터 판정 결과</t>
  </si>
  <si>
    <t>신규 입력치: 키 6.0 feet / 몸무게 130 lbs</t>
  </si>
  <si>
    <t>남성(Male) 사후 확률: 0.25%</t>
  </si>
  <si>
    <t>여성(Female) 사후 확률: 99.75%</t>
  </si>
  <si>
    <t>최종 분류 결과: Female (여성)</t>
  </si>
  <si>
    <t>■ 나이브 베이즈 원리 요약</t>
  </si>
  <si>
    <t>1. 각 성별 집단이 갖는 키와 몸무게의 평균/표준편차를 구해 가우시안 정규분포 분포를 생성합니다.</t>
  </si>
  <si>
    <t>2. 새로운 데이터가 들어왔을 때, 해당 데이터가 각 성별 분포에서 나타날 확률인 Likelihood(우도)를 계산합니다.</t>
  </si>
  <si>
    <t>3. [사전확률(Prior) x 키 우도 x 몸무게 우도]의 연산을 통해 최종 사후 확률(Posterior)을 산출하여 더 높은 쪽으로 판정합니다.</t>
  </si>
  <si>
    <t>4. 분석 결과, 신규 샘플은 키가 크기 때문에 남성일 조건부 우도가 높았으나, 몸무게(130lbs)가 남성 평균(176.25lbs)에서 극단적으로 멀어져 우도가 0에 가깝게 떨어집니다.</t>
  </si>
  <si>
    <t>5. 결과적으로 사후 확률에서 여성이 99.75%라는 압도적인 수치를 기록하며 '여성'으로 예측됩니다.</t>
  </si>
  <si>
    <t>나이브 베이즈 분류기 (Naive Bayes) 엑셀 구현</t>
  </si>
  <si>
    <t>연속형 변수에 대해 가우시안 확률밀도함수(Gaussian PDF)를 적용하여 사후확률을 계산합니다.</t>
  </si>
  <si>
    <t>Person</t>
  </si>
  <si>
    <t>height (x₁)</t>
  </si>
  <si>
    <t>weight (x₂)</t>
  </si>
  <si>
    <t>성별</t>
  </si>
  <si>
    <t>키 평균</t>
  </si>
  <si>
    <t>키 표준편차</t>
  </si>
  <si>
    <t>몸무게 평균</t>
  </si>
  <si>
    <t>몸무게 표준편차</t>
  </si>
  <si>
    <t>male</t>
  </si>
  <si>
    <t>female</t>
  </si>
  <si>
    <t>신규 데이터 예측 연산</t>
  </si>
  <si>
    <t>성별(Class)</t>
  </si>
  <si>
    <t>사전확률(Prior)</t>
  </si>
  <si>
    <t>키 Likelihood</t>
  </si>
  <si>
    <t>몸무게 Likelihood</t>
  </si>
  <si>
    <t>결합 Likelihood</t>
  </si>
  <si>
    <t>사후확률(Posterior)</t>
  </si>
  <si>
    <t>최종 분류 판정:</t>
  </si>
  <si>
    <t>입력 샘플 (별첨 2)</t>
  </si>
  <si>
    <t>키(Height)</t>
  </si>
  <si>
    <t>몸무게(Weight)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</si>
</sst>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"/>
    <numFmt numFmtId="178" formatCode="0.0%"/>
    <numFmt numFmtId="179" formatCode="0.000000"/>
  </numFmts>
  <fonts count="7">
    <font>
      <sz val="11"/>
      <color theme="1"/>
      <name val="맑은 고딕"/>
      <family val="2"/>
      <scheme val="minor"/>
    </font>
    <font>
      <b/>
      <sz val="16"/>
      <color rgb="FF1B365D"/>
      <name val="Malgun Gothic"/>
      <family val="3"/>
      <charset val="129"/>
    </font>
    <font>
      <i/>
      <sz val="11"/>
      <color rgb="FF555555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4A5568"/>
        <bgColor rgb="FF4A5568"/>
      </patternFill>
    </fill>
    <fill>
      <patternFill patternType="solid">
        <fgColor rgb="FFFFE6E6"/>
        <bgColor rgb="FFFFE6E6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5" fillId="0" borderId="0" xfId="0" applyFont="1"/>
    <xf numFmtId="0" fontId="4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3" fontId="4" fillId="0" borderId="1" xfId="0" applyNumberFormat="1" applyFont="1" applyBorder="1"/>
    <xf numFmtId="176" fontId="4" fillId="0" borderId="1" xfId="0" applyNumberFormat="1" applyFont="1" applyBorder="1" applyAlignment="1">
      <alignment horizontal="center"/>
    </xf>
    <xf numFmtId="177" fontId="4" fillId="0" borderId="1" xfId="0" applyNumberFormat="1" applyFont="1" applyBorder="1"/>
    <xf numFmtId="176" fontId="4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/>
    <xf numFmtId="3" fontId="4" fillId="3" borderId="1" xfId="0" applyNumberFormat="1" applyFont="1" applyFill="1" applyBorder="1"/>
    <xf numFmtId="0" fontId="3" fillId="4" borderId="0" xfId="0" applyFont="1" applyFill="1" applyAlignment="1">
      <alignment horizontal="center" wrapText="1"/>
    </xf>
    <xf numFmtId="178" fontId="4" fillId="0" borderId="1" xfId="0" applyNumberFormat="1" applyFont="1" applyBorder="1"/>
    <xf numFmtId="179" fontId="4" fillId="0" borderId="1" xfId="0" applyNumberFormat="1" applyFont="1" applyBorder="1"/>
    <xf numFmtId="10" fontId="5" fillId="0" borderId="1" xfId="0" applyNumberFormat="1" applyFont="1" applyBorder="1"/>
    <xf numFmtId="0" fontId="5" fillId="5" borderId="0" xfId="0" applyFont="1" applyFill="1"/>
    <xf numFmtId="0" fontId="5" fillId="0" borderId="1" xfId="0" applyFont="1" applyBorder="1"/>
    <xf numFmtId="0" fontId="4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selection activeCell="A7" sqref="A7"/>
    </sheetView>
  </sheetViews>
  <sheetFormatPr defaultRowHeight="17.399999999999999"/>
  <cols>
    <col min="1" max="1" width="107" customWidth="1"/>
  </cols>
  <sheetData>
    <row r="1" spans="1:1" ht="25.2">
      <c r="A1" s="1" t="s">
        <v>0</v>
      </c>
    </row>
    <row r="4" spans="1:1">
      <c r="A4" s="2" t="s">
        <v>1</v>
      </c>
    </row>
    <row r="5" spans="1:1">
      <c r="A5" s="3" t="s">
        <v>2</v>
      </c>
    </row>
    <row r="6" spans="1:1">
      <c r="A6" s="3" t="s">
        <v>3</v>
      </c>
    </row>
    <row r="7" spans="1:1">
      <c r="A7" s="3" t="s">
        <v>4</v>
      </c>
    </row>
    <row r="8" spans="1:1">
      <c r="A8" s="2" t="s">
        <v>5</v>
      </c>
    </row>
    <row r="10" spans="1:1">
      <c r="A10" s="2" t="s">
        <v>6</v>
      </c>
    </row>
    <row r="11" spans="1:1">
      <c r="A11" s="3" t="s">
        <v>7</v>
      </c>
    </row>
    <row r="12" spans="1:1">
      <c r="A12" s="3" t="s">
        <v>8</v>
      </c>
    </row>
    <row r="13" spans="1:1">
      <c r="A13" s="3" t="s">
        <v>9</v>
      </c>
    </row>
    <row r="14" spans="1:1">
      <c r="A14" s="3" t="s">
        <v>10</v>
      </c>
    </row>
    <row r="15" spans="1:1">
      <c r="A15" s="3" t="s">
        <v>11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abSelected="1" workbookViewId="0">
      <selection activeCell="B12" sqref="B12"/>
    </sheetView>
  </sheetViews>
  <sheetFormatPr defaultRowHeight="17.399999999999999"/>
  <cols>
    <col min="1" max="1" width="58" customWidth="1"/>
    <col min="2" max="3" width="14" customWidth="1"/>
    <col min="4" max="4" width="13" customWidth="1"/>
    <col min="5" max="5" width="16" customWidth="1"/>
    <col min="6" max="6" width="43" customWidth="1"/>
    <col min="7" max="8" width="35" customWidth="1"/>
    <col min="9" max="9" width="20" customWidth="1"/>
    <col min="10" max="10" width="18" customWidth="1"/>
  </cols>
  <sheetData>
    <row r="1" spans="1:10" ht="25.2">
      <c r="A1" s="1" t="s">
        <v>12</v>
      </c>
    </row>
    <row r="2" spans="1:10">
      <c r="A2" s="4" t="s">
        <v>13</v>
      </c>
    </row>
    <row r="5" spans="1:10">
      <c r="A5" s="5" t="s">
        <v>14</v>
      </c>
      <c r="B5" s="5" t="s">
        <v>15</v>
      </c>
      <c r="C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</row>
    <row r="6" spans="1:10">
      <c r="A6" s="6" t="s">
        <v>22</v>
      </c>
      <c r="B6" s="7">
        <v>6</v>
      </c>
      <c r="C6" s="8">
        <v>180</v>
      </c>
      <c r="E6" s="9" t="s">
        <v>22</v>
      </c>
      <c r="F6" s="10">
        <f>AVERAGE(B6:B9)</f>
        <v>5.8550000000000004</v>
      </c>
      <c r="G6" s="10">
        <f>_xlfn.STDEV.S(B6:B9)</f>
        <v>0.18717193521821937</v>
      </c>
      <c r="H6" s="11">
        <f>AVERAGE(C6:C9)</f>
        <v>176.25</v>
      </c>
      <c r="I6" s="10">
        <f>_xlfn.STDEV.S(C6:C9)</f>
        <v>11.086778913041726</v>
      </c>
    </row>
    <row r="7" spans="1:10">
      <c r="A7" s="12" t="s">
        <v>22</v>
      </c>
      <c r="B7" s="13">
        <v>5.92</v>
      </c>
      <c r="C7" s="14">
        <v>190</v>
      </c>
      <c r="E7" s="9" t="s">
        <v>23</v>
      </c>
      <c r="F7" s="10">
        <f>AVERAGE(B10:B13)</f>
        <v>5.4175000000000004</v>
      </c>
      <c r="G7" s="10">
        <f>_xlfn.STDEV.S(B10:B13)</f>
        <v>0.31180923655337728</v>
      </c>
      <c r="H7" s="11">
        <f>AVERAGE(C10:C13)</f>
        <v>132.5</v>
      </c>
      <c r="I7" s="10">
        <f>_xlfn.STDEV.S(C10:C13)</f>
        <v>23.629078131263043</v>
      </c>
    </row>
    <row r="8" spans="1:10">
      <c r="A8" s="6" t="s">
        <v>22</v>
      </c>
      <c r="B8" s="7">
        <v>5.58</v>
      </c>
      <c r="C8" s="8">
        <v>170</v>
      </c>
    </row>
    <row r="9" spans="1:10">
      <c r="A9" s="12" t="s">
        <v>22</v>
      </c>
      <c r="B9" s="13">
        <v>5.92</v>
      </c>
      <c r="C9" s="14">
        <v>165</v>
      </c>
    </row>
    <row r="10" spans="1:10">
      <c r="A10" s="6" t="s">
        <v>23</v>
      </c>
      <c r="B10" s="7">
        <v>5</v>
      </c>
      <c r="C10" s="8">
        <v>100</v>
      </c>
      <c r="E10" s="2" t="s">
        <v>24</v>
      </c>
    </row>
    <row r="11" spans="1:10">
      <c r="A11" s="12" t="s">
        <v>23</v>
      </c>
      <c r="B11" s="13">
        <v>5.5</v>
      </c>
      <c r="C11" s="14">
        <v>150</v>
      </c>
      <c r="E11" s="15" t="s">
        <v>25</v>
      </c>
      <c r="F11" s="15" t="s">
        <v>26</v>
      </c>
      <c r="G11" s="15" t="s">
        <v>27</v>
      </c>
      <c r="H11" s="15" t="s">
        <v>28</v>
      </c>
      <c r="I11" s="15" t="s">
        <v>29</v>
      </c>
      <c r="J11" s="15" t="s">
        <v>30</v>
      </c>
    </row>
    <row r="12" spans="1:10">
      <c r="A12" s="6" t="s">
        <v>23</v>
      </c>
      <c r="B12" s="7">
        <v>5.42</v>
      </c>
      <c r="C12" s="8">
        <v>130</v>
      </c>
      <c r="E12" s="6" t="s">
        <v>22</v>
      </c>
      <c r="F12" s="16">
        <f>COUNTIF(A6:A13, "male")/COUNT(B6:B13)</f>
        <v>0.5</v>
      </c>
      <c r="G12" s="10">
        <f>_xlfn.NORM.DIST($B$17, F6, G6, FALSE)</f>
        <v>1.5788831832641039</v>
      </c>
      <c r="H12" s="10">
        <f>_xlfn.NORM.DIST($B$18, H6, I6, FALSE)</f>
        <v>5.9867430248121411E-6</v>
      </c>
      <c r="I12" s="17">
        <f>F12*G12*H12</f>
        <v>4.7261839421997822E-6</v>
      </c>
      <c r="J12" s="18">
        <f>I12/(I12+I13)</f>
        <v>2.5131472839108487E-3</v>
      </c>
    </row>
    <row r="13" spans="1:10">
      <c r="A13" s="12" t="s">
        <v>23</v>
      </c>
      <c r="B13" s="13">
        <v>5.75</v>
      </c>
      <c r="C13" s="14">
        <v>150</v>
      </c>
      <c r="E13" s="6" t="s">
        <v>23</v>
      </c>
      <c r="F13" s="16">
        <f>COUNTIF(A6:A13, "female")/COUNT(B6:B13)</f>
        <v>0.5</v>
      </c>
      <c r="G13" s="10">
        <f>_xlfn.NORM.DIST($B$17, F7, G7, FALSE)</f>
        <v>0.22345872684481599</v>
      </c>
      <c r="H13" s="10">
        <f>_xlfn.NORM.DIST($B$18, H7, I7, FALSE)</f>
        <v>1.6789297889908364E-2</v>
      </c>
      <c r="I13" s="17">
        <f>F13*G13*H13</f>
        <v>1.8758575655486393E-3</v>
      </c>
      <c r="J13" s="18">
        <f>I13/(I12+I13)</f>
        <v>0.99748685271608917</v>
      </c>
    </row>
    <row r="15" spans="1:10">
      <c r="E15" s="2" t="s">
        <v>31</v>
      </c>
      <c r="F15" s="19" t="str">
        <f>IF(J12&gt;J13, "Male (남성)", "Female (여성)")</f>
        <v>Female (여성)</v>
      </c>
    </row>
    <row r="16" spans="1:10">
      <c r="A16" s="2" t="s">
        <v>32</v>
      </c>
    </row>
    <row r="17" spans="1:2">
      <c r="A17" s="20" t="s">
        <v>33</v>
      </c>
      <c r="B17" s="7">
        <v>6</v>
      </c>
    </row>
    <row r="18" spans="1:2">
      <c r="A18" s="20" t="s">
        <v>34</v>
      </c>
      <c r="B18" s="21">
        <v>130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나이브 베이즈 요약</vt:lpstr>
      <vt:lpstr>나이브 베이즈 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Sanggoo Cho</cp:lastModifiedBy>
  <dcterms:created xsi:type="dcterms:W3CDTF">2026-07-14T01:39:00Z</dcterms:created>
  <dcterms:modified xsi:type="dcterms:W3CDTF">2026-07-14T01:42:20Z</dcterms:modified>
</cp:coreProperties>
</file>